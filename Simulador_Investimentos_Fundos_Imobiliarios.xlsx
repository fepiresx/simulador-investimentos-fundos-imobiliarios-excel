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eu Drive\Arquivos\Profissional\Cursos\Santander - Excel com Inteligência Artificial\Parte 1 - Dominando Tabelas com Excel\5- Criando uma Ferramenta de Controle de Investimentos no Excel\"/>
    </mc:Choice>
  </mc:AlternateContent>
  <xr:revisionPtr revIDLastSave="0" documentId="13_ncr:1_{5BEE2036-BAA9-4235-9658-97BE4A16B70E}" xr6:coauthVersionLast="47" xr6:coauthVersionMax="47" xr10:uidLastSave="{00000000-0000-0000-0000-000000000000}"/>
  <bookViews>
    <workbookView xWindow="-108" yWindow="-108" windowWidth="23256" windowHeight="12456" tabRatio="274" xr2:uid="{00000000-000D-0000-FFFF-FFFF00000000}"/>
  </bookViews>
  <sheets>
    <sheet name="APP" sheetId="1" r:id="rId1"/>
    <sheet name="Base de Dados" sheetId="2" r:id="rId2"/>
  </sheets>
  <definedNames>
    <definedName name="aporte">APP!$D$22</definedName>
    <definedName name="patrimonio">APP!$D$25</definedName>
    <definedName name="qtd_anos">APP!$D$23</definedName>
    <definedName name="rendimento_carteira">APP!$D$17</definedName>
    <definedName name="salario">APP!$D$16</definedName>
    <definedName name="sugestao_investimento">APP!$D$18</definedName>
    <definedName name="taxa_mensal">APP!$D$24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4" i="1"/>
  <c r="C42" i="1"/>
  <c r="C41" i="1"/>
  <c r="C43" i="1"/>
  <c r="D42" i="1" l="1"/>
  <c r="D44" i="1"/>
  <c r="D41" i="1"/>
  <c r="A14" i="2"/>
  <c r="A15" i="2"/>
  <c r="A16" i="2"/>
  <c r="A17" i="2"/>
  <c r="A13" i="2"/>
  <c r="A9" i="2"/>
  <c r="A10" i="2"/>
  <c r="A11" i="2"/>
  <c r="A12" i="2"/>
  <c r="A8" i="2"/>
  <c r="A4" i="2"/>
  <c r="A5" i="2"/>
  <c r="A6" i="2"/>
  <c r="A7" i="2"/>
  <c r="A3" i="2"/>
  <c r="C38" i="1"/>
  <c r="D25" i="1"/>
  <c r="D26" i="1" s="1"/>
  <c r="D18" i="1"/>
  <c r="C30" i="1"/>
  <c r="D30" i="1" s="1"/>
  <c r="C31" i="1"/>
  <c r="D31" i="1" s="1"/>
  <c r="C32" i="1"/>
  <c r="D32" i="1" s="1"/>
  <c r="C33" i="1"/>
  <c r="D33" i="1" s="1"/>
  <c r="C34" i="1"/>
  <c r="D34" i="1" s="1"/>
  <c r="D45" i="1" l="1"/>
  <c r="D43" i="1"/>
  <c r="D46" i="1" s="1"/>
</calcChain>
</file>

<file path=xl/sharedStrings.xml><?xml version="1.0" encoding="utf-8"?>
<sst xmlns="http://schemas.openxmlformats.org/spreadsheetml/2006/main" count="64" uniqueCount="33">
  <si>
    <t>Quanto investir por mês</t>
  </si>
  <si>
    <t>Por Quantos Anos</t>
  </si>
  <si>
    <t>Taxa de Rendimento Mensal</t>
  </si>
  <si>
    <t>Patrimônio acumulado</t>
  </si>
  <si>
    <t>Dividendos Mensais</t>
  </si>
  <si>
    <t>INVESTIMENTO MENSAL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</si>
  <si>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</si>
  <si>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</si>
  <si>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</si>
  <si>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</si>
  <si>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</si>
  <si>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</si>
  <si>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</t>
  </si>
  <si>
    <t>Rendimento Carteira</t>
  </si>
  <si>
    <t>Salário</t>
  </si>
  <si>
    <t>CONFIGURAÇÕES</t>
  </si>
  <si>
    <t xml:space="preserve"> </t>
  </si>
  <si>
    <t>Arrojado</t>
  </si>
  <si>
    <t>VALOR A SER INVESTIDO POR MÊS</t>
  </si>
  <si>
    <t>PERFIL</t>
  </si>
  <si>
    <t>TIPO DE FII</t>
  </si>
  <si>
    <t>Percentual Sugerido</t>
  </si>
  <si>
    <t>Valores</t>
  </si>
  <si>
    <t>Conservador</t>
  </si>
  <si>
    <t>Moderado</t>
  </si>
  <si>
    <t>%</t>
  </si>
  <si>
    <t>CHAVE</t>
  </si>
  <si>
    <t>DESENVOLVIMENTO</t>
  </si>
  <si>
    <t>RECEBÍVEIS</t>
  </si>
  <si>
    <t>GALPÕES</t>
  </si>
  <si>
    <t>PAPEL</t>
  </si>
  <si>
    <t>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</si>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</sst>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99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57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3" fillId="0" borderId="0" xfId="0" applyFont="1"/>
    <xf numFmtId="164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8" fontId="2" fillId="4" borderId="7" xfId="0" applyNumberFormat="1" applyFont="1" applyFill="1" applyBorder="1" applyAlignment="1">
      <alignment horizontal="center" vertical="center"/>
    </xf>
    <xf numFmtId="8" fontId="2" fillId="4" borderId="9" xfId="0" applyNumberFormat="1" applyFont="1" applyFill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64" fontId="0" fillId="4" borderId="11" xfId="0" applyNumberFormat="1" applyFill="1" applyBorder="1" applyAlignment="1">
      <alignment horizontal="center" vertical="center"/>
    </xf>
    <xf numFmtId="164" fontId="0" fillId="4" borderId="12" xfId="0" applyNumberFormat="1" applyFill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164" fontId="0" fillId="4" borderId="18" xfId="0" applyNumberFormat="1" applyFill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indent="2"/>
    </xf>
    <xf numFmtId="0" fontId="5" fillId="4" borderId="13" xfId="0" applyFont="1" applyFill="1" applyBorder="1" applyAlignment="1">
      <alignment horizontal="left" indent="2"/>
    </xf>
    <xf numFmtId="0" fontId="5" fillId="4" borderId="16" xfId="0" applyFont="1" applyFill="1" applyBorder="1" applyAlignment="1">
      <alignment horizontal="left" indent="2"/>
    </xf>
    <xf numFmtId="8" fontId="0" fillId="5" borderId="9" xfId="0" applyNumberFormat="1" applyFill="1" applyBorder="1" applyAlignment="1">
      <alignment horizontal="center" vertical="center"/>
    </xf>
    <xf numFmtId="0" fontId="0" fillId="5" borderId="0" xfId="0" applyFill="1"/>
    <xf numFmtId="164" fontId="2" fillId="5" borderId="0" xfId="0" applyNumberFormat="1" applyFont="1" applyFill="1" applyAlignment="1">
      <alignment horizontal="center" vertical="center"/>
    </xf>
    <xf numFmtId="0" fontId="2" fillId="5" borderId="0" xfId="0" applyFont="1" applyFill="1"/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6" borderId="0" xfId="0" applyFont="1" applyFill="1" applyAlignment="1">
      <alignment horizontal="center" vertical="center"/>
    </xf>
    <xf numFmtId="0" fontId="2" fillId="6" borderId="0" xfId="0" applyFont="1" applyFill="1"/>
    <xf numFmtId="164" fontId="2" fillId="6" borderId="0" xfId="0" applyNumberFormat="1" applyFont="1" applyFill="1"/>
    <xf numFmtId="0" fontId="0" fillId="0" borderId="22" xfId="0" applyBorder="1"/>
    <xf numFmtId="9" fontId="0" fillId="0" borderId="0" xfId="0" applyNumberFormat="1" applyAlignment="1">
      <alignment horizontal="center"/>
    </xf>
    <xf numFmtId="9" fontId="0" fillId="0" borderId="22" xfId="0" applyNumberFormat="1" applyBorder="1" applyAlignment="1">
      <alignment horizontal="center"/>
    </xf>
    <xf numFmtId="9" fontId="0" fillId="0" borderId="0" xfId="0" applyNumberFormat="1" applyAlignment="1">
      <alignment horizontal="center" vertical="center"/>
    </xf>
    <xf numFmtId="0" fontId="1" fillId="7" borderId="0" xfId="1" applyFont="1" applyFill="1" applyBorder="1" applyAlignment="1">
      <alignment horizontal="left"/>
    </xf>
    <xf numFmtId="0" fontId="1" fillId="7" borderId="0" xfId="1" applyFont="1" applyFill="1" applyAlignment="1">
      <alignment horizontal="center" vertical="center"/>
    </xf>
    <xf numFmtId="0" fontId="1" fillId="7" borderId="0" xfId="1" applyFont="1" applyFill="1" applyAlignment="1"/>
    <xf numFmtId="0" fontId="5" fillId="5" borderId="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 vertical="center" indent="2"/>
    </xf>
    <xf numFmtId="0" fontId="5" fillId="5" borderId="19" xfId="0" applyFont="1" applyFill="1" applyBorder="1" applyAlignment="1">
      <alignment horizontal="left" vertical="center" indent="2"/>
    </xf>
    <xf numFmtId="0" fontId="5" fillId="5" borderId="6" xfId="0" applyFont="1" applyFill="1" applyBorder="1" applyAlignment="1">
      <alignment horizontal="left" vertical="center" indent="2"/>
    </xf>
    <xf numFmtId="0" fontId="5" fillId="5" borderId="20" xfId="0" applyFont="1" applyFill="1" applyBorder="1" applyAlignment="1">
      <alignment horizontal="left" vertical="center" indent="2"/>
    </xf>
    <xf numFmtId="0" fontId="5" fillId="5" borderId="8" xfId="0" applyFont="1" applyFill="1" applyBorder="1" applyAlignment="1">
      <alignment horizontal="left" vertical="center" indent="2"/>
    </xf>
    <xf numFmtId="0" fontId="5" fillId="5" borderId="21" xfId="0" applyFont="1" applyFill="1" applyBorder="1" applyAlignment="1">
      <alignment horizontal="left" vertical="center" indent="2"/>
    </xf>
    <xf numFmtId="0" fontId="5" fillId="5" borderId="4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</cellXfs>
  <cellStyles count="2">
    <cellStyle name="Ênfase1" xfId="1" builtinId="29"/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5CA-40C8-B333-2989F6A71CD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CA-40C8-B333-2989F6A71CD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CA-40C8-B333-2989F6A71CD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5CA-40C8-B333-2989F6A71CDF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5CA-40C8-B333-2989F6A71C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APP!$B$41:$B$45</c:f>
              <c:strCache>
                <c:ptCount val="5"/>
                <c:pt idx="0">
                  <c:v>DESENVOLVIMENTO</c:v>
                </c:pt>
                <c:pt idx="1">
                  <c:v>RECEBÍVEIS</c:v>
                </c:pt>
                <c:pt idx="2">
                  <c:v>GALPÕES</c:v>
                </c:pt>
                <c:pt idx="3">
                  <c:v>PAPEL</c:v>
                </c:pt>
                <c:pt idx="4">
                  <c:v>TIJOLO</c:v>
                </c:pt>
              </c:strCache>
            </c:strRef>
          </c:cat>
          <c:val>
            <c:numRef>
              <c:f>APP!$C$41:$C$45</c:f>
              <c:numCache>
                <c:formatCode>0%</c:formatCode>
                <c:ptCount val="5"/>
                <c:pt idx="0">
                  <c:v>0.3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8-4A4A-AEDC-7360D375154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5CA-40C8-B333-2989F6A71CDF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5CA-40C8-B333-2989F6A71CDF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5CA-40C8-B333-2989F6A71CDF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5CA-40C8-B333-2989F6A71CDF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5CA-40C8-B333-2989F6A71CDF}"/>
              </c:ext>
            </c:extLst>
          </c:dPt>
          <c:cat>
            <c:strRef>
              <c:f>APP!$B$41:$B$45</c:f>
              <c:strCache>
                <c:ptCount val="5"/>
                <c:pt idx="0">
                  <c:v>DESENVOLVIMENTO</c:v>
                </c:pt>
                <c:pt idx="1">
                  <c:v>RECEBÍVEIS</c:v>
                </c:pt>
                <c:pt idx="2">
                  <c:v>GALPÕES</c:v>
                </c:pt>
                <c:pt idx="3">
                  <c:v>PAPEL</c:v>
                </c:pt>
                <c:pt idx="4">
                  <c:v>TIJOLO</c:v>
                </c:pt>
              </c:strCache>
            </c:strRef>
          </c:cat>
          <c:val>
            <c:numRef>
              <c:f>APP!$D$41:$D$45</c:f>
              <c:numCache>
                <c:formatCode>"R$"\ #,##0.00</c:formatCode>
                <c:ptCount val="5"/>
                <c:pt idx="0">
                  <c:v>450</c:v>
                </c:pt>
                <c:pt idx="1">
                  <c:v>300</c:v>
                </c:pt>
                <c:pt idx="2">
                  <c:v>300</c:v>
                </c:pt>
                <c:pt idx="3">
                  <c:v>225</c:v>
                </c:pt>
                <c:pt idx="4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98-4A4A-AEDC-7360D3751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613833</xdr:colOff>
      <xdr:row>48</xdr:row>
      <xdr:rowOff>80433</xdr:rowOff>
    </xdr:from>
    <xdr:to>
      <xdr:col>3</xdr:col>
      <xdr:colOff>393700</xdr:colOff>
      <xdr:row>63</xdr:row>
      <xdr:rowOff>29633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1E086AC-BB6A-3679-11E6-527F1AF8C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8466</xdr:colOff>
      <xdr:row>0</xdr:row>
      <xdr:rowOff>186266</xdr:rowOff>
    </xdr:from>
    <xdr:to>
      <xdr:col>4</xdr:col>
      <xdr:colOff>25399</xdr:colOff>
      <xdr:row>12</xdr:row>
      <xdr:rowOff>103138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8264146-1250-8E31-95F9-49F264EAA7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74" b="27057"/>
        <a:stretch>
          <a:fillRect/>
        </a:stretch>
      </xdr:blipFill>
      <xdr:spPr>
        <a:xfrm>
          <a:off x="618066" y="186266"/>
          <a:ext cx="5918200" cy="215207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I74"/>
  <sheetViews>
    <sheetView showGridLines="0" showRowColHeaders="0" tabSelected="1" zoomScale="90" zoomScaleNormal="90" workbookViewId="0">
      <selection activeCell="G47" sqref="G47"/>
    </sheetView>
  </sheetViews>
  <sheetFormatPr defaultColWidth="0" defaultRowHeight="14.4" x14ac:dyDescent="0.3"/>
  <cols>
    <col min="1" max="1" width="8.88671875" customWidth="1"/>
    <col min="2" max="2" width="51.109375" customWidth="1"/>
    <col min="3" max="3" width="18.77734375" bestFit="1" customWidth="1"/>
    <col min="4" max="4" width="16.21875" customWidth="1"/>
    <col min="5" max="5" width="8.88671875" customWidth="1"/>
    <col min="6" max="9" width="3.109375" customWidth="1"/>
    <col min="10" max="11" width="8.88671875" hidden="1" customWidth="1"/>
    <col min="12" max="16384" width="8.88671875" hidden="1"/>
  </cols>
  <sheetData>
    <row r="14" spans="2:4" ht="15" thickBot="1" x14ac:dyDescent="0.35"/>
    <row r="15" spans="2:4" ht="30" customHeight="1" x14ac:dyDescent="0.3">
      <c r="B15" s="54" t="s">
        <v>15</v>
      </c>
      <c r="C15" s="55"/>
      <c r="D15" s="56"/>
    </row>
    <row r="16" spans="2:4" ht="19.2" x14ac:dyDescent="0.3">
      <c r="B16" s="46" t="s">
        <v>14</v>
      </c>
      <c r="C16" s="47"/>
      <c r="D16" s="16">
        <v>7000</v>
      </c>
    </row>
    <row r="17" spans="1:9" ht="19.2" x14ac:dyDescent="0.3">
      <c r="B17" s="48" t="s">
        <v>13</v>
      </c>
      <c r="C17" s="49"/>
      <c r="D17" s="9">
        <v>0.01</v>
      </c>
    </row>
    <row r="18" spans="1:9" ht="19.8" thickBot="1" x14ac:dyDescent="0.35">
      <c r="B18" s="50" t="s">
        <v>32</v>
      </c>
      <c r="C18" s="51"/>
      <c r="D18" s="21">
        <f>D16*30%</f>
        <v>2100</v>
      </c>
    </row>
    <row r="20" spans="1:9" ht="15" thickBot="1" x14ac:dyDescent="0.35"/>
    <row r="21" spans="1:9" ht="30" customHeight="1" x14ac:dyDescent="0.3">
      <c r="B21" s="43" t="s">
        <v>5</v>
      </c>
      <c r="C21" s="44"/>
      <c r="D21" s="45"/>
    </row>
    <row r="22" spans="1:9" ht="19.2" x14ac:dyDescent="0.3">
      <c r="B22" s="52" t="s">
        <v>0</v>
      </c>
      <c r="C22" s="53"/>
      <c r="D22" s="4">
        <v>1500</v>
      </c>
    </row>
    <row r="23" spans="1:9" ht="19.2" x14ac:dyDescent="0.3">
      <c r="B23" s="37" t="s">
        <v>1</v>
      </c>
      <c r="C23" s="38"/>
      <c r="D23" s="5">
        <v>5</v>
      </c>
    </row>
    <row r="24" spans="1:9" ht="19.2" x14ac:dyDescent="0.3">
      <c r="B24" s="37" t="s">
        <v>2</v>
      </c>
      <c r="C24" s="38"/>
      <c r="D24" s="6">
        <v>1.0999999999999999E-2</v>
      </c>
    </row>
    <row r="25" spans="1:9" ht="19.2" x14ac:dyDescent="0.3">
      <c r="B25" s="39" t="s">
        <v>3</v>
      </c>
      <c r="C25" s="40"/>
      <c r="D25" s="7">
        <f>FV(taxa_mensal,qtd_anos*12,aporte*-1)</f>
        <v>126522.63663342818</v>
      </c>
    </row>
    <row r="26" spans="1:9" ht="19.8" thickBot="1" x14ac:dyDescent="0.35">
      <c r="B26" s="41" t="s">
        <v>4</v>
      </c>
      <c r="C26" s="42"/>
      <c r="D26" s="8">
        <f>patrimonio*rendimento_carteira</f>
        <v>1265.2263663342817</v>
      </c>
    </row>
    <row r="28" spans="1:9" ht="15" thickBot="1" x14ac:dyDescent="0.35"/>
    <row r="29" spans="1:9" ht="30" customHeight="1" x14ac:dyDescent="0.3">
      <c r="B29" s="17" t="s">
        <v>11</v>
      </c>
      <c r="C29" s="2"/>
      <c r="D29" s="1" t="s">
        <v>12</v>
      </c>
    </row>
    <row r="30" spans="1:9" ht="19.2" x14ac:dyDescent="0.45">
      <c r="A30" s="3">
        <v>2</v>
      </c>
      <c r="B30" s="18" t="s">
        <v>6</v>
      </c>
      <c r="C30" s="10">
        <f>FV($D$24,$A30*12,$D$22*-1)</f>
        <v>40943.537717468666</v>
      </c>
      <c r="D30" s="11">
        <f>C30*rendimento_carteira</f>
        <v>409.43537717468666</v>
      </c>
    </row>
    <row r="31" spans="1:9" ht="19.2" x14ac:dyDescent="0.45">
      <c r="A31" s="3">
        <v>5</v>
      </c>
      <c r="B31" s="19" t="s">
        <v>7</v>
      </c>
      <c r="C31" s="12">
        <f>FV($D$24,$A31*12,$D$22*-1)</f>
        <v>126522.63663342818</v>
      </c>
      <c r="D31" s="13">
        <f>C31*rendimento_carteira</f>
        <v>1265.2263663342817</v>
      </c>
      <c r="I31" t="s">
        <v>16</v>
      </c>
    </row>
    <row r="32" spans="1:9" ht="19.2" x14ac:dyDescent="0.45">
      <c r="A32" s="3">
        <v>10</v>
      </c>
      <c r="B32" s="19" t="s">
        <v>8</v>
      </c>
      <c r="C32" s="12">
        <f>FV($D$24,$A32*12,$D$22*-1)</f>
        <v>370437.10885846918</v>
      </c>
      <c r="D32" s="13">
        <f>C32*rendimento_carteira</f>
        <v>3704.3710885846917</v>
      </c>
    </row>
    <row r="33" spans="1:6" ht="19.2" x14ac:dyDescent="0.45">
      <c r="A33" s="3">
        <v>20</v>
      </c>
      <c r="B33" s="19" t="s">
        <v>9</v>
      </c>
      <c r="C33" s="12">
        <f>FV($D$24,$A33*12,$D$22*-1)</f>
        <v>1747180.9962593613</v>
      </c>
      <c r="D33" s="13">
        <f>C33*rendimento_carteira</f>
        <v>17471.809962593612</v>
      </c>
    </row>
    <row r="34" spans="1:6" ht="19.8" thickBot="1" x14ac:dyDescent="0.5">
      <c r="A34" s="3">
        <v>30</v>
      </c>
      <c r="B34" s="20" t="s">
        <v>10</v>
      </c>
      <c r="C34" s="14">
        <f>FV($D$24,$A34*12,$D$22*-1)</f>
        <v>6863903.0691008661</v>
      </c>
      <c r="D34" s="15">
        <f>C34*rendimento_carteira</f>
        <v>68639.030691008666</v>
      </c>
    </row>
    <row r="37" spans="1:6" x14ac:dyDescent="0.3">
      <c r="B37" s="34" t="s">
        <v>19</v>
      </c>
      <c r="C37" s="35" t="s">
        <v>17</v>
      </c>
      <c r="D37" s="36"/>
    </row>
    <row r="38" spans="1:6" x14ac:dyDescent="0.3">
      <c r="B38" s="24" t="s">
        <v>18</v>
      </c>
      <c r="C38" s="23">
        <f>aporte</f>
        <v>1500</v>
      </c>
      <c r="D38" s="22"/>
    </row>
    <row r="40" spans="1:6" x14ac:dyDescent="0.3">
      <c r="B40" s="27" t="s">
        <v>20</v>
      </c>
      <c r="C40" s="27" t="s">
        <v>21</v>
      </c>
      <c r="D40" s="27" t="s">
        <v>22</v>
      </c>
    </row>
    <row r="41" spans="1:6" x14ac:dyDescent="0.3">
      <c r="B41" s="25" t="s">
        <v>27</v>
      </c>
      <c r="C41" s="33">
        <f>VLOOKUP($C$37&amp;"-"&amp;B41,'Base de Dados'!$A:$D,4,FALSE)</f>
        <v>0.3</v>
      </c>
      <c r="D41" s="26">
        <f>C41*$C$38</f>
        <v>450</v>
      </c>
    </row>
    <row r="42" spans="1:6" x14ac:dyDescent="0.3">
      <c r="B42" s="25" t="s">
        <v>28</v>
      </c>
      <c r="C42" s="33">
        <f>VLOOKUP($C$37&amp;"-"&amp;B42,'Base de Dados'!$A:$D,4,FALSE)</f>
        <v>0.2</v>
      </c>
      <c r="D42" s="26">
        <f t="shared" ref="D42:D45" si="0">C42*$C$38</f>
        <v>300</v>
      </c>
    </row>
    <row r="43" spans="1:6" x14ac:dyDescent="0.3">
      <c r="B43" s="25" t="s">
        <v>29</v>
      </c>
      <c r="C43" s="33">
        <f>VLOOKUP($C$37&amp;"-"&amp;B43,'Base de Dados'!$A:$D,4,FALSE)</f>
        <v>0.2</v>
      </c>
      <c r="D43" s="26">
        <f t="shared" si="0"/>
        <v>300</v>
      </c>
    </row>
    <row r="44" spans="1:6" x14ac:dyDescent="0.3">
      <c r="B44" s="25" t="s">
        <v>30</v>
      </c>
      <c r="C44" s="33">
        <f>VLOOKUP($C$37&amp;"-"&amp;B44,'Base de Dados'!$A:$D,4,FALSE)</f>
        <v>0.15</v>
      </c>
      <c r="D44" s="26">
        <f t="shared" si="0"/>
        <v>225</v>
      </c>
    </row>
    <row r="45" spans="1:6" x14ac:dyDescent="0.3">
      <c r="B45" s="25" t="s">
        <v>31</v>
      </c>
      <c r="C45" s="33">
        <f>VLOOKUP($C$37&amp;"-"&amp;B45,'Base de Dados'!$A:$D,4,FALSE)</f>
        <v>0.15</v>
      </c>
      <c r="D45" s="26">
        <f t="shared" si="0"/>
        <v>225</v>
      </c>
    </row>
    <row r="46" spans="1:6" x14ac:dyDescent="0.3">
      <c r="B46" s="28"/>
      <c r="C46" s="28"/>
      <c r="D46" s="29">
        <f>SUM(D41:D45)</f>
        <v>1500</v>
      </c>
    </row>
    <row r="47" spans="1:6" x14ac:dyDescent="0.3">
      <c r="F47" t="s">
        <v>16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</sheetData>
  <mergeCells count="10">
    <mergeCell ref="B15:D15"/>
    <mergeCell ref="B24:C24"/>
    <mergeCell ref="B25:C25"/>
    <mergeCell ref="B26:C26"/>
    <mergeCell ref="B21:D21"/>
    <mergeCell ref="B16:C16"/>
    <mergeCell ref="B17:C17"/>
    <mergeCell ref="B18:C18"/>
    <mergeCell ref="B22:C22"/>
    <mergeCell ref="B23:C23"/>
  </mergeCells>
  <dataValidations count="1">
    <dataValidation type="list" allowBlank="1" showInputMessage="1" showErrorMessage="1" sqref="C37:D37" xr:uid="{B16635CB-B016-466F-A509-CCC937B403AC}">
      <formula1>"Conservador,Moderado,Arrojado"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ACC4-7702-43A8-BC8A-7BA02FD2E79E}">
  <dimension ref="A2:D17"/>
  <sheetViews>
    <sheetView workbookViewId="0">
      <selection activeCell="J9" sqref="J9"/>
    </sheetView>
  </sheetViews>
  <sheetFormatPr defaultRowHeight="14.4" x14ac:dyDescent="0.3"/>
  <cols>
    <col min="1" max="1" width="26.5546875" bestFit="1" customWidth="1"/>
    <col min="2" max="3" width="18.77734375" customWidth="1"/>
  </cols>
  <sheetData>
    <row r="2" spans="1:4" x14ac:dyDescent="0.3">
      <c r="A2" t="s">
        <v>26</v>
      </c>
      <c r="B2" t="s">
        <v>19</v>
      </c>
      <c r="C2" s="25" t="s">
        <v>20</v>
      </c>
      <c r="D2" s="25" t="s">
        <v>25</v>
      </c>
    </row>
    <row r="3" spans="1:4" x14ac:dyDescent="0.3">
      <c r="A3" t="str">
        <f>$B$3&amp;"-"&amp;C3</f>
        <v>Conservador-DESENVOLVIMENTO</v>
      </c>
      <c r="B3" t="s">
        <v>23</v>
      </c>
      <c r="C3" t="s">
        <v>27</v>
      </c>
      <c r="D3" s="31">
        <v>0.05</v>
      </c>
    </row>
    <row r="4" spans="1:4" x14ac:dyDescent="0.3">
      <c r="A4" t="str">
        <f t="shared" ref="A4:A7" si="0">$B$3&amp;"-"&amp;C4</f>
        <v>Conservador-RECEBÍVEIS</v>
      </c>
      <c r="B4" t="s">
        <v>23</v>
      </c>
      <c r="C4" t="s">
        <v>28</v>
      </c>
      <c r="D4" s="31">
        <v>0.05</v>
      </c>
    </row>
    <row r="5" spans="1:4" x14ac:dyDescent="0.3">
      <c r="A5" t="str">
        <f t="shared" si="0"/>
        <v>Conservador-GALPÕES</v>
      </c>
      <c r="B5" t="s">
        <v>23</v>
      </c>
      <c r="C5" t="s">
        <v>29</v>
      </c>
      <c r="D5" s="31">
        <v>0.1</v>
      </c>
    </row>
    <row r="6" spans="1:4" x14ac:dyDescent="0.3">
      <c r="A6" t="str">
        <f t="shared" si="0"/>
        <v>Conservador-PAPEL</v>
      </c>
      <c r="B6" t="s">
        <v>23</v>
      </c>
      <c r="C6" t="s">
        <v>30</v>
      </c>
      <c r="D6" s="31">
        <v>0.3</v>
      </c>
    </row>
    <row r="7" spans="1:4" x14ac:dyDescent="0.3">
      <c r="A7" s="30" t="str">
        <f t="shared" si="0"/>
        <v>Conservador-TIJOLO</v>
      </c>
      <c r="B7" s="30" t="s">
        <v>23</v>
      </c>
      <c r="C7" s="30" t="s">
        <v>31</v>
      </c>
      <c r="D7" s="32">
        <v>0.5</v>
      </c>
    </row>
    <row r="8" spans="1:4" x14ac:dyDescent="0.3">
      <c r="A8" t="str">
        <f>$B$8&amp;"-"&amp;C8</f>
        <v>Moderado-DESENVOLVIMENTO</v>
      </c>
      <c r="B8" t="s">
        <v>24</v>
      </c>
      <c r="C8" t="s">
        <v>27</v>
      </c>
      <c r="D8" s="31">
        <v>0.1</v>
      </c>
    </row>
    <row r="9" spans="1:4" x14ac:dyDescent="0.3">
      <c r="A9" t="str">
        <f t="shared" ref="A9:A12" si="1">$B$8&amp;"-"&amp;C9</f>
        <v>Moderado-RECEBÍVEIS</v>
      </c>
      <c r="B9" t="s">
        <v>24</v>
      </c>
      <c r="C9" t="s">
        <v>28</v>
      </c>
      <c r="D9" s="31">
        <v>0.1</v>
      </c>
    </row>
    <row r="10" spans="1:4" x14ac:dyDescent="0.3">
      <c r="A10" t="str">
        <f t="shared" si="1"/>
        <v>Moderado-GALPÕES</v>
      </c>
      <c r="B10" t="s">
        <v>24</v>
      </c>
      <c r="C10" t="s">
        <v>29</v>
      </c>
      <c r="D10" s="31">
        <v>0.2</v>
      </c>
    </row>
    <row r="11" spans="1:4" x14ac:dyDescent="0.3">
      <c r="A11" t="str">
        <f t="shared" si="1"/>
        <v>Moderado-PAPEL</v>
      </c>
      <c r="B11" t="s">
        <v>24</v>
      </c>
      <c r="C11" t="s">
        <v>30</v>
      </c>
      <c r="D11" s="31">
        <v>0.3</v>
      </c>
    </row>
    <row r="12" spans="1:4" x14ac:dyDescent="0.3">
      <c r="A12" s="30" t="str">
        <f t="shared" si="1"/>
        <v>Moderado-TIJOLO</v>
      </c>
      <c r="B12" s="30" t="s">
        <v>24</v>
      </c>
      <c r="C12" s="30" t="s">
        <v>31</v>
      </c>
      <c r="D12" s="32">
        <v>0.3</v>
      </c>
    </row>
    <row r="13" spans="1:4" x14ac:dyDescent="0.3">
      <c r="A13" t="str">
        <f>$B$13&amp;"-"&amp;C13</f>
        <v>Arrojado-DESENVOLVIMENTO</v>
      </c>
      <c r="B13" t="s">
        <v>17</v>
      </c>
      <c r="C13" t="s">
        <v>27</v>
      </c>
      <c r="D13" s="31">
        <v>0.3</v>
      </c>
    </row>
    <row r="14" spans="1:4" x14ac:dyDescent="0.3">
      <c r="A14" t="str">
        <f t="shared" ref="A14:A17" si="2">$B$13&amp;"-"&amp;C14</f>
        <v>Arrojado-RECEBÍVEIS</v>
      </c>
      <c r="B14" t="s">
        <v>17</v>
      </c>
      <c r="C14" t="s">
        <v>28</v>
      </c>
      <c r="D14" s="31">
        <v>0.2</v>
      </c>
    </row>
    <row r="15" spans="1:4" x14ac:dyDescent="0.3">
      <c r="A15" t="str">
        <f t="shared" si="2"/>
        <v>Arrojado-GALPÕES</v>
      </c>
      <c r="B15" t="s">
        <v>17</v>
      </c>
      <c r="C15" t="s">
        <v>29</v>
      </c>
      <c r="D15" s="31">
        <v>0.2</v>
      </c>
    </row>
    <row r="16" spans="1:4" x14ac:dyDescent="0.3">
      <c r="A16" t="str">
        <f t="shared" si="2"/>
        <v>Arrojado-PAPEL</v>
      </c>
      <c r="B16" t="s">
        <v>17</v>
      </c>
      <c r="C16" t="s">
        <v>30</v>
      </c>
      <c r="D16" s="31">
        <v>0.15</v>
      </c>
    </row>
    <row r="17" spans="1:4" x14ac:dyDescent="0.3">
      <c r="A17" t="str">
        <f t="shared" si="2"/>
        <v>Arrojado-TIJOLO</v>
      </c>
      <c r="B17" t="s">
        <v>17</v>
      </c>
      <c r="C17" t="s">
        <v>31</v>
      </c>
      <c r="D17" s="31">
        <v>0.15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Base de Dados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Pires</dc:creator>
  <cp:lastModifiedBy>Fernanda Pires</cp:lastModifiedBy>
  <dcterms:created xsi:type="dcterms:W3CDTF">2015-06-05T18:19:34Z</dcterms:created>
  <dcterms:modified xsi:type="dcterms:W3CDTF">2026-02-25T21:48:30Z</dcterms:modified>
</cp:coreProperties>
</file>